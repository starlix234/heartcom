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tada" sheetId="1" r:id="rId4"/>
    <sheet state="visible" name="Sprint planning" sheetId="2" r:id="rId5"/>
    <sheet state="visible" name="Burdown Chart" sheetId="3" r:id="rId6"/>
  </sheets>
  <definedNames/>
  <calcPr/>
</workbook>
</file>

<file path=xl/sharedStrings.xml><?xml version="1.0" encoding="utf-8"?>
<sst xmlns="http://schemas.openxmlformats.org/spreadsheetml/2006/main" count="101" uniqueCount="53">
  <si>
    <t>Campo</t>
  </si>
  <si>
    <t>Valor</t>
  </si>
  <si>
    <t>Nombre del Proyecto</t>
  </si>
  <si>
    <t>HEART COM</t>
  </si>
  <si>
    <t>Sprints</t>
  </si>
  <si>
    <t>Fecha inicio</t>
  </si>
  <si>
    <t>Fecha fin</t>
  </si>
  <si>
    <t>Duración</t>
  </si>
  <si>
    <t>2 semanas</t>
  </si>
  <si>
    <t>Scrum Master</t>
  </si>
  <si>
    <t>Constanza Leiva</t>
  </si>
  <si>
    <t>Product Owner</t>
  </si>
  <si>
    <t xml:space="preserve">Junta de vecinos </t>
  </si>
  <si>
    <t>Equipo</t>
  </si>
  <si>
    <t>Cristobal Ferraro</t>
  </si>
  <si>
    <t>Juan Contreras</t>
  </si>
  <si>
    <t>Fabian Irribarra</t>
  </si>
  <si>
    <t>¿En riesgo?</t>
  </si>
  <si>
    <t>NOMBRE DE LA TAREA</t>
  </si>
  <si>
    <t>RESPONSABLE</t>
  </si>
  <si>
    <t>PUNTOS DE HISTORIA</t>
  </si>
  <si>
    <t>FECHA DE INICIO</t>
  </si>
  <si>
    <t>FECHA DE 
 FINALIZACIÓN</t>
  </si>
  <si>
    <t>DURACIÓN 
 (días)</t>
  </si>
  <si>
    <t>ESTADO</t>
  </si>
  <si>
    <t>PRIORIDAD</t>
  </si>
  <si>
    <t>SPRINT 1</t>
  </si>
  <si>
    <t>No</t>
  </si>
  <si>
    <t xml:space="preserve">Desarrollo de la base de datos </t>
  </si>
  <si>
    <t>Completada</t>
  </si>
  <si>
    <t>Alta</t>
  </si>
  <si>
    <t xml:space="preserve">Desarrollo de módulo de Usuarios </t>
  </si>
  <si>
    <t>Desarrollo de módulo de Solicitudes</t>
  </si>
  <si>
    <t>Desarrollo de módulo de Proyectos</t>
  </si>
  <si>
    <t>Todos</t>
  </si>
  <si>
    <t>Media</t>
  </si>
  <si>
    <t xml:space="preserve">Desarrollo de módulo de Noticias </t>
  </si>
  <si>
    <t xml:space="preserve">Desarrollo de módulo de Reservas  </t>
  </si>
  <si>
    <t>SPRINT 2</t>
  </si>
  <si>
    <t xml:space="preserve">Corrección del módulo de Usuarios </t>
  </si>
  <si>
    <t>Corrección de modulo de Solicitudes</t>
  </si>
  <si>
    <t xml:space="preserve">Corrección modulo de Pagos </t>
  </si>
  <si>
    <t xml:space="preserve">Corrección modulo de Noticias </t>
  </si>
  <si>
    <t xml:space="preserve">Corrección modulo de Reservas  </t>
  </si>
  <si>
    <t>Realizacion de video tutorial</t>
  </si>
  <si>
    <t>Pendiente</t>
  </si>
  <si>
    <t>Baja</t>
  </si>
  <si>
    <t xml:space="preserve">Mensajes realizados por whattsapp </t>
  </si>
  <si>
    <t>Estado</t>
  </si>
  <si>
    <t>Cantidad</t>
  </si>
  <si>
    <t xml:space="preserve">En Proceso </t>
  </si>
  <si>
    <t>Completado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</si>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</sst>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0.0"/>
      <color rgb="FF000000"/>
      <name val="Verdana"/>
      <scheme val="minor"/>
    </font>
    <font>
      <b/>
      <color rgb="FFFFFFFF"/>
      <name val="Verdana"/>
      <scheme val="minor"/>
    </font>
    <font>
      <color theme="1"/>
      <name val="Verdana"/>
      <scheme val="minor"/>
    </font>
    <font>
      <b/>
      <color rgb="FFFFFFFF"/>
      <name val="&quot;Century Gothic&quot;"/>
    </font>
    <font>
      <color rgb="FFFFFFFF"/>
      <name val="Verdana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00A2"/>
        <bgColor rgb="FF0000A2"/>
      </patternFill>
    </fill>
    <fill>
      <patternFill patternType="solid">
        <fgColor rgb="FF44546A"/>
        <bgColor rgb="FF44546A"/>
      </patternFill>
    </fill>
    <fill>
      <patternFill patternType="solid">
        <fgColor rgb="FF333F4F"/>
        <bgColor rgb="FF333F4F"/>
      </patternFill>
    </fill>
    <fill>
      <patternFill patternType="solid">
        <fgColor rgb="FFBFBFBF"/>
        <bgColor rgb="FFBFBFB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164" xfId="0" applyAlignment="1" applyBorder="1" applyFont="1" applyNumberFormat="1">
      <alignment horizontal="left" readingOrder="0"/>
    </xf>
    <xf borderId="1" fillId="2" fontId="3" numFmtId="0" xfId="0" applyAlignment="1" applyBorder="1" applyFont="1">
      <alignment horizontal="left" readingOrder="0"/>
    </xf>
    <xf borderId="1" fillId="2" fontId="3" numFmtId="0" xfId="0" applyAlignment="1" applyBorder="1" applyFont="1">
      <alignment horizontal="center" readingOrder="0"/>
    </xf>
    <xf borderId="1" fillId="3" fontId="3" numFmtId="0" xfId="0" applyAlignment="1" applyBorder="1" applyFill="1" applyFont="1">
      <alignment horizontal="center" readingOrder="0"/>
    </xf>
    <xf borderId="1" fillId="4" fontId="3" numFmtId="0" xfId="0" applyAlignment="1" applyBorder="1" applyFill="1" applyFont="1">
      <alignment horizontal="center" readingOrder="0"/>
    </xf>
    <xf borderId="1" fillId="5" fontId="2" numFmtId="0" xfId="0" applyBorder="1" applyFill="1" applyFont="1"/>
    <xf borderId="1" fillId="5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164" xfId="0" applyAlignment="1" applyBorder="1" applyFont="1" applyNumberFormat="1">
      <alignment readingOrder="0"/>
    </xf>
    <xf borderId="1" fillId="5" fontId="2" numFmtId="0" xfId="0" applyAlignment="1" applyBorder="1" applyFont="1">
      <alignment horizontal="center"/>
    </xf>
    <xf borderId="1" fillId="2" fontId="4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383"/>
                </a:solidFill>
                <a:latin typeface="+mn-lt"/>
              </a:defRPr>
            </a:pPr>
            <a:r>
              <a:rPr b="0">
                <a:solidFill>
                  <a:srgbClr val="838383"/>
                </a:solidFill>
                <a:latin typeface="+mn-lt"/>
              </a:rPr>
              <a:t>Progreso del proyecto Heartcom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'Burdown Chart'!$B$2</c:f>
            </c:strRef>
          </c:tx>
          <c:dPt>
            <c:idx val="0"/>
            <c:spPr>
              <a:solidFill>
                <a:srgbClr val="1A9988"/>
              </a:solidFill>
            </c:spPr>
          </c:dPt>
          <c:dPt>
            <c:idx val="1"/>
            <c:spPr>
              <a:solidFill>
                <a:srgbClr val="6AA84F"/>
              </a:solidFill>
            </c:spPr>
          </c:dPt>
          <c:dPt>
            <c:idx val="2"/>
            <c:spPr>
              <a:solidFill>
                <a:srgbClr val="1F3E78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'Burdown Chart'!$A$3:$A$5</c:f>
            </c:strRef>
          </c:cat>
          <c:val>
            <c:numRef>
              <c:f>'Burdown Chart'!$B$3:$B$5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l"/>
      <c:overlay val="0"/>
      <c:txPr>
        <a:bodyPr/>
        <a:lstStyle/>
        <a:p>
          <a:pPr lvl="0">
            <a:defRPr b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533400</xdr:colOff>
      <xdr:row>0</xdr:row>
      <xdr:rowOff>142875</xdr:rowOff>
    </xdr:from>
    <xdr:ext cx="6648450" cy="412432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2" max="2" width="22.44"/>
    <col customWidth="1" min="3" max="3" width="15.11"/>
  </cols>
  <sheetData>
    <row r="3">
      <c r="B3" s="1" t="s">
        <v>0</v>
      </c>
      <c r="C3" s="1" t="s">
        <v>1</v>
      </c>
    </row>
    <row r="4">
      <c r="B4" s="2" t="s">
        <v>2</v>
      </c>
      <c r="C4" s="2" t="s">
        <v>3</v>
      </c>
    </row>
    <row r="5">
      <c r="B5" s="2" t="s">
        <v>4</v>
      </c>
      <c r="C5" s="3">
        <v>2.0</v>
      </c>
    </row>
    <row r="6">
      <c r="B6" s="2" t="s">
        <v>5</v>
      </c>
      <c r="C6" s="4">
        <v>46034.0</v>
      </c>
    </row>
    <row r="7">
      <c r="B7" s="2" t="s">
        <v>6</v>
      </c>
      <c r="C7" s="4">
        <v>46048.0</v>
      </c>
    </row>
    <row r="8">
      <c r="B8" s="2" t="s">
        <v>7</v>
      </c>
      <c r="C8" s="3" t="s">
        <v>8</v>
      </c>
    </row>
    <row r="9">
      <c r="B9" s="2" t="s">
        <v>9</v>
      </c>
      <c r="C9" s="3" t="s">
        <v>10</v>
      </c>
    </row>
    <row r="10">
      <c r="B10" s="2" t="s">
        <v>11</v>
      </c>
      <c r="C10" s="3" t="s">
        <v>12</v>
      </c>
    </row>
    <row r="11">
      <c r="B11" s="2" t="s">
        <v>13</v>
      </c>
      <c r="C11" s="3" t="s">
        <v>14</v>
      </c>
    </row>
    <row r="12">
      <c r="B12" s="2" t="s">
        <v>13</v>
      </c>
      <c r="C12" s="2" t="s">
        <v>15</v>
      </c>
    </row>
    <row r="13">
      <c r="B13" s="2" t="s">
        <v>13</v>
      </c>
      <c r="C13" s="2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13.67"/>
    <col customWidth="1" min="2" max="2" width="30.44"/>
    <col customWidth="1" min="3" max="3" width="16.56"/>
    <col customWidth="1" min="4" max="4" width="13.56"/>
    <col customWidth="1" min="5" max="5" width="13.0"/>
    <col customWidth="1" min="6" max="6" width="12.78"/>
    <col customWidth="1" min="7" max="7" width="9.78"/>
    <col customWidth="1" min="8" max="8" width="14.89"/>
  </cols>
  <sheetData>
    <row r="1">
      <c r="A1" s="5" t="s">
        <v>17</v>
      </c>
      <c r="B1" s="5" t="s">
        <v>18</v>
      </c>
      <c r="C1" s="5" t="s">
        <v>19</v>
      </c>
      <c r="D1" s="6" t="s">
        <v>20</v>
      </c>
      <c r="E1" s="7" t="s">
        <v>21</v>
      </c>
      <c r="F1" s="7" t="s">
        <v>22</v>
      </c>
      <c r="G1" s="8" t="s">
        <v>23</v>
      </c>
      <c r="H1" s="5" t="s">
        <v>24</v>
      </c>
      <c r="I1" s="5" t="s">
        <v>25</v>
      </c>
    </row>
    <row r="2">
      <c r="A2" s="9"/>
      <c r="B2" s="10" t="s">
        <v>26</v>
      </c>
      <c r="C2" s="9"/>
      <c r="D2" s="9"/>
      <c r="E2" s="9"/>
      <c r="F2" s="9"/>
      <c r="G2" s="9"/>
      <c r="H2" s="9"/>
      <c r="I2" s="9"/>
    </row>
    <row r="3">
      <c r="A3" s="2" t="s">
        <v>27</v>
      </c>
      <c r="B3" s="2" t="s">
        <v>28</v>
      </c>
      <c r="C3" s="2" t="s">
        <v>16</v>
      </c>
      <c r="D3" s="11">
        <v>5.0</v>
      </c>
      <c r="E3" s="12">
        <v>46034.0</v>
      </c>
      <c r="F3" s="12">
        <v>46035.0</v>
      </c>
      <c r="G3" s="11">
        <v>1.0</v>
      </c>
      <c r="H3" s="2" t="s">
        <v>29</v>
      </c>
      <c r="I3" s="2" t="s">
        <v>30</v>
      </c>
    </row>
    <row r="4">
      <c r="A4" s="2" t="s">
        <v>27</v>
      </c>
      <c r="B4" s="2" t="s">
        <v>31</v>
      </c>
      <c r="C4" s="2" t="s">
        <v>10</v>
      </c>
      <c r="D4" s="11">
        <v>5.0</v>
      </c>
      <c r="E4" s="12">
        <v>46034.0</v>
      </c>
      <c r="F4" s="12">
        <v>46035.0</v>
      </c>
      <c r="G4" s="11">
        <v>1.0</v>
      </c>
      <c r="H4" s="2" t="s">
        <v>29</v>
      </c>
      <c r="I4" s="2" t="s">
        <v>30</v>
      </c>
    </row>
    <row r="5">
      <c r="A5" s="2" t="s">
        <v>27</v>
      </c>
      <c r="B5" s="2" t="s">
        <v>32</v>
      </c>
      <c r="C5" s="2" t="s">
        <v>10</v>
      </c>
      <c r="D5" s="11">
        <v>5.0</v>
      </c>
      <c r="E5" s="12">
        <v>46036.0</v>
      </c>
      <c r="F5" s="12">
        <v>46037.0</v>
      </c>
      <c r="G5" s="11">
        <v>1.0</v>
      </c>
      <c r="H5" s="2" t="s">
        <v>29</v>
      </c>
      <c r="I5" s="2" t="s">
        <v>30</v>
      </c>
    </row>
    <row r="6">
      <c r="A6" s="2" t="s">
        <v>27</v>
      </c>
      <c r="B6" s="2" t="s">
        <v>33</v>
      </c>
      <c r="C6" s="2" t="s">
        <v>34</v>
      </c>
      <c r="D6" s="11">
        <v>3.0</v>
      </c>
      <c r="E6" s="12">
        <v>46038.0</v>
      </c>
      <c r="F6" s="12">
        <v>46039.0</v>
      </c>
      <c r="G6" s="11">
        <v>1.0</v>
      </c>
      <c r="H6" s="2" t="s">
        <v>29</v>
      </c>
      <c r="I6" s="2" t="s">
        <v>35</v>
      </c>
    </row>
    <row r="7">
      <c r="A7" s="2" t="s">
        <v>27</v>
      </c>
      <c r="B7" s="2" t="s">
        <v>36</v>
      </c>
      <c r="C7" s="2" t="s">
        <v>34</v>
      </c>
      <c r="D7" s="11">
        <v>3.0</v>
      </c>
      <c r="E7" s="12">
        <v>46040.0</v>
      </c>
      <c r="F7" s="12">
        <v>46041.0</v>
      </c>
      <c r="G7" s="11">
        <v>1.0</v>
      </c>
      <c r="H7" s="2" t="s">
        <v>29</v>
      </c>
      <c r="I7" s="2" t="s">
        <v>35</v>
      </c>
    </row>
    <row r="8">
      <c r="A8" s="2" t="s">
        <v>27</v>
      </c>
      <c r="B8" s="2" t="s">
        <v>37</v>
      </c>
      <c r="C8" s="2" t="s">
        <v>34</v>
      </c>
      <c r="D8" s="11">
        <v>3.0</v>
      </c>
      <c r="E8" s="12">
        <v>46042.0</v>
      </c>
      <c r="F8" s="12">
        <v>46043.0</v>
      </c>
      <c r="G8" s="11">
        <v>1.0</v>
      </c>
      <c r="H8" s="2" t="s">
        <v>29</v>
      </c>
      <c r="I8" s="2" t="s">
        <v>35</v>
      </c>
    </row>
    <row r="9">
      <c r="A9" s="9"/>
      <c r="B9" s="10" t="s">
        <v>38</v>
      </c>
      <c r="C9" s="9"/>
      <c r="D9" s="13"/>
      <c r="E9" s="9"/>
      <c r="F9" s="9"/>
      <c r="G9" s="9"/>
      <c r="H9" s="9"/>
      <c r="I9" s="9"/>
    </row>
    <row r="10">
      <c r="A10" s="2" t="s">
        <v>27</v>
      </c>
      <c r="B10" s="2" t="s">
        <v>39</v>
      </c>
      <c r="C10" s="2" t="s">
        <v>14</v>
      </c>
      <c r="D10" s="11">
        <v>2.0</v>
      </c>
      <c r="E10" s="12">
        <v>46044.0</v>
      </c>
      <c r="F10" s="12">
        <v>46045.0</v>
      </c>
      <c r="G10" s="11">
        <v>1.0</v>
      </c>
      <c r="H10" s="2" t="s">
        <v>29</v>
      </c>
      <c r="I10" s="2" t="s">
        <v>30</v>
      </c>
    </row>
    <row r="11">
      <c r="A11" s="2" t="s">
        <v>27</v>
      </c>
      <c r="B11" s="2" t="s">
        <v>40</v>
      </c>
      <c r="C11" s="2" t="s">
        <v>34</v>
      </c>
      <c r="D11" s="11">
        <v>2.0</v>
      </c>
      <c r="E11" s="12">
        <v>46044.0</v>
      </c>
      <c r="F11" s="12">
        <v>46045.0</v>
      </c>
      <c r="G11" s="11">
        <v>1.0</v>
      </c>
      <c r="H11" s="2" t="s">
        <v>29</v>
      </c>
      <c r="I11" s="2" t="s">
        <v>30</v>
      </c>
    </row>
    <row r="12">
      <c r="A12" s="2" t="s">
        <v>27</v>
      </c>
      <c r="B12" s="2" t="s">
        <v>41</v>
      </c>
      <c r="C12" s="2" t="s">
        <v>16</v>
      </c>
      <c r="D12" s="11">
        <v>2.0</v>
      </c>
      <c r="E12" s="12">
        <v>46046.0</v>
      </c>
      <c r="F12" s="12">
        <v>46047.0</v>
      </c>
      <c r="G12" s="11">
        <v>1.0</v>
      </c>
      <c r="H12" s="2" t="s">
        <v>29</v>
      </c>
      <c r="I12" s="2" t="s">
        <v>35</v>
      </c>
    </row>
    <row r="13">
      <c r="A13" s="2" t="s">
        <v>27</v>
      </c>
      <c r="B13" s="2" t="s">
        <v>42</v>
      </c>
      <c r="C13" s="2" t="s">
        <v>34</v>
      </c>
      <c r="D13" s="11">
        <v>2.0</v>
      </c>
      <c r="E13" s="12">
        <v>46046.0</v>
      </c>
      <c r="F13" s="12">
        <v>46047.0</v>
      </c>
      <c r="G13" s="11">
        <v>1.0</v>
      </c>
      <c r="H13" s="2" t="s">
        <v>29</v>
      </c>
      <c r="I13" s="2" t="s">
        <v>35</v>
      </c>
    </row>
    <row r="14">
      <c r="A14" s="2" t="s">
        <v>27</v>
      </c>
      <c r="B14" s="2" t="s">
        <v>43</v>
      </c>
      <c r="C14" s="2" t="s">
        <v>34</v>
      </c>
      <c r="D14" s="11">
        <v>2.0</v>
      </c>
      <c r="E14" s="12">
        <v>46046.0</v>
      </c>
      <c r="F14" s="12">
        <v>46047.0</v>
      </c>
      <c r="G14" s="11">
        <v>1.0</v>
      </c>
      <c r="H14" s="2" t="s">
        <v>29</v>
      </c>
      <c r="I14" s="2" t="s">
        <v>35</v>
      </c>
    </row>
    <row r="15">
      <c r="A15" s="2" t="s">
        <v>27</v>
      </c>
      <c r="B15" s="2" t="s">
        <v>44</v>
      </c>
      <c r="C15" s="2" t="s">
        <v>34</v>
      </c>
      <c r="D15" s="11">
        <v>2.0</v>
      </c>
      <c r="E15" s="12">
        <v>46047.0</v>
      </c>
      <c r="F15" s="12">
        <v>46048.0</v>
      </c>
      <c r="G15" s="11">
        <v>1.0</v>
      </c>
      <c r="H15" s="2" t="s">
        <v>45</v>
      </c>
      <c r="I15" s="2" t="s">
        <v>46</v>
      </c>
    </row>
    <row r="16">
      <c r="A16" s="2" t="s">
        <v>27</v>
      </c>
      <c r="B16" s="2" t="s">
        <v>47</v>
      </c>
      <c r="C16" s="2" t="s">
        <v>34</v>
      </c>
      <c r="D16" s="11">
        <v>2.0</v>
      </c>
      <c r="E16" s="12">
        <v>46048.0</v>
      </c>
      <c r="F16" s="12">
        <v>46049.0</v>
      </c>
      <c r="G16" s="11">
        <v>1.0</v>
      </c>
      <c r="H16" s="2" t="s">
        <v>45</v>
      </c>
      <c r="I16" s="2" t="s">
        <v>46</v>
      </c>
    </row>
  </sheetData>
  <dataValidations>
    <dataValidation type="list" allowBlank="1" showErrorMessage="1" sqref="C3:C8 C10:C16">
      <formula1>"Fabian Irribarra,Cristobal Ferraro,Constanza Leiva,Juan Contreras,Todos"</formula1>
    </dataValidation>
    <dataValidation type="list" allowBlank="1" showErrorMessage="1" sqref="I3:I8 I10:I16">
      <formula1>"Alta,Media,Baja"</formula1>
    </dataValidation>
    <dataValidation type="list" allowBlank="1" showErrorMessage="1" sqref="H3:H8 H10:H16">
      <formula1>"En Proceso,Pendiente,Completada"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>
    <row r="2">
      <c r="A2" s="14" t="s">
        <v>48</v>
      </c>
      <c r="B2" s="14" t="s">
        <v>49</v>
      </c>
    </row>
    <row r="3">
      <c r="A3" s="2" t="s">
        <v>50</v>
      </c>
      <c r="B3" s="2">
        <f>COUNTIF('Sprint planning'!H3:H16,"En Proceso")</f>
        <v>0</v>
      </c>
    </row>
    <row r="4">
      <c r="A4" s="2" t="s">
        <v>51</v>
      </c>
      <c r="B4" s="15">
        <f>COUNTIF('Sprint planning'!H3:H16,"Completada")</f>
        <v>11</v>
      </c>
    </row>
    <row r="5">
      <c r="A5" s="2" t="s">
        <v>45</v>
      </c>
      <c r="B5" s="15">
        <f>COUNTIF('Sprint planning'!H3:H16,"Pendiente")</f>
        <v>2</v>
      </c>
    </row>
    <row r="6">
      <c r="A6" s="2" t="s">
        <v>52</v>
      </c>
      <c r="B6" s="15">
        <f>SUM(B3:B5)</f>
        <v>13</v>
      </c>
    </row>
  </sheetData>
  <drawing r:id="rId1"/>
</worksheet>
</file>